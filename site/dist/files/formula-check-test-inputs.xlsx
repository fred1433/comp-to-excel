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Comparison" sheetId="1" r:id="rId1"/>
    <sheet name="Settings" sheetId="2" state="hidden" r:id="rId2"/>
  </sheets>
  <definedNames>
    <definedName name="GrossAdjustmentFlag">Settings!$B$4</definedName>
    <definedName name="SqFtPerAcre">Settings!$B$2</definedName>
    <definedName name="ValueRounding">Settings!$B$3</definedName>
  </definedNames>
  <calcPr calcId="124519" fullCalcOnLoad="1"/>
</workbook>
</file>

<file path=xl/sharedStrings.xml><?xml version="1.0" encoding="utf-8"?>
<sst xmlns="http://schemas.openxmlformats.org/spreadsheetml/2006/main" count="60" uniqueCount="55">
  <si>
    <t>Sales comparison grid (demonstration template)</t>
  </si>
  <si>
    <t>Blue cells: reported facts, entered from approved records. Yellow cells: appraiser input, including the building area used for comparison. A blank input is not zero: calculated lines stay blank until their inputs are filled.</t>
  </si>
  <si>
    <t>Subject</t>
  </si>
  <si>
    <t>Comparable 1</t>
  </si>
  <si>
    <t>Comparable 2</t>
  </si>
  <si>
    <t>Comparable 3</t>
  </si>
  <si>
    <t>Address</t>
  </si>
  <si>
    <t>Parcel(s)</t>
  </si>
  <si>
    <t>Recorded instrument</t>
  </si>
  <si>
    <t>Sale date (county record)</t>
  </si>
  <si>
    <t>Sale price ($)</t>
  </si>
  <si>
    <t>Building area for comparison (sq ft), appraiser's choice</t>
  </si>
  <si>
    <t>Building area as reported by each source</t>
  </si>
  <si>
    <t>Land area (acres)</t>
  </si>
  <si>
    <t>Year built</t>
  </si>
  <si>
    <t>Zoning</t>
  </si>
  <si>
    <t>Seller (reported in council minutes)</t>
  </si>
  <si>
    <t>Current owner (county record)</t>
  </si>
  <si>
    <t>Property rights (reported)</t>
  </si>
  <si>
    <t>Conditions of sale (reported)</t>
  </si>
  <si>
    <t>Marketing history (reported)</t>
  </si>
  <si>
    <t>Non-realty items (reported)</t>
  </si>
  <si>
    <t>Sources</t>
  </si>
  <si>
    <t>Verification</t>
  </si>
  <si>
    <t>Calculated from reported facts and the chosen area</t>
  </si>
  <si>
    <t>Sale price per sq ft of the chosen building area</t>
  </si>
  <si>
    <t>Land-to-building ratio</t>
  </si>
  <si>
    <t>Transactional adjustments (appraiser input, applied in sequence)</t>
  </si>
  <si>
    <t>Property rights conveyed (%)</t>
  </si>
  <si>
    <t>Adjusted price per sq ft</t>
  </si>
  <si>
    <t>Financing terms (%)</t>
  </si>
  <si>
    <t>Conditions of sale (%)</t>
  </si>
  <si>
    <t>Expenditures after purchase ($/sq ft)</t>
  </si>
  <si>
    <t>Market conditions (time) (%)</t>
  </si>
  <si>
    <t>Property adjustments (appraiser input, added together)</t>
  </si>
  <si>
    <t>Location (%)</t>
  </si>
  <si>
    <t>Size (%)</t>
  </si>
  <si>
    <t>Age and condition (%)</t>
  </si>
  <si>
    <t>Quality (%)</t>
  </si>
  <si>
    <t>Land-to-building ratio (%)</t>
  </si>
  <si>
    <t>Use and zoning (%)</t>
  </si>
  <si>
    <t>Non-realty components (%)</t>
  </si>
  <si>
    <t>Net property adjustment</t>
  </si>
  <si>
    <t>Gross adjustment (% of unadjusted price)</t>
  </si>
  <si>
    <t>Net adjustment (% of unadjusted price)</t>
  </si>
  <si>
    <t>Reconciliation (appraiser)</t>
  </si>
  <si>
    <t>Reconciled price per sq ft</t>
  </si>
  <si>
    <t>Indicated value, rounded</t>
  </si>
  <si>
    <t>Reconciliation comment</t>
  </si>
  <si>
    <t>Setting</t>
  </si>
  <si>
    <t>Value</t>
  </si>
  <si>
    <t>Square feet per acre</t>
  </si>
  <si>
    <t>Rounding of indicated value (digits, -3 = nearest $1,000)</t>
  </si>
  <si>
    <t>Flag gross adjustment above</t>
  </si>
  <si>
    <t>Reported-fact cells filled, comparable 1</t>
  </si>
</sst>
</file>

<file path=xl/styles.xml><?xml version="1.0" encoding="utf-8"?>
<styleSheet xmlns="http://schemas.openxmlformats.org/spreadsheetml/2006/main">
  <numFmts count="6">
    <numFmt numFmtId="164" formatCode="mm/dd/yyyy"/>
    <numFmt numFmtId="165" formatCode="#,##0"/>
    <numFmt numFmtId="166" formatCode="0.00"/>
    <numFmt numFmtId="167" formatCode="$#,##0.00"/>
    <numFmt numFmtId="168" formatCode="0.0%"/>
    <numFmt numFmtId="169" formatCode="$#,##0"/>
  </numFmts>
  <fonts count="7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i/>
      <sz val="10"/>
      <color rgb="FF555555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1F3A5F"/>
      <name val="Arial"/>
      <family val="2"/>
    </font>
    <font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F3F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6DD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2D3A8"/>
      </left>
      <right style="thin">
        <color rgb="FFE2D3A8"/>
      </right>
      <top style="thin">
        <color rgb="FFE2D3A8"/>
      </top>
      <bottom style="thin">
        <color rgb="FFE2D3A8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/>
    </xf>
    <xf numFmtId="164" fontId="4" fillId="2" borderId="2" xfId="0" applyNumberFormat="1" applyFont="1" applyFill="1" applyBorder="1" applyAlignment="1">
      <alignment vertical="top"/>
    </xf>
    <xf numFmtId="165" fontId="4" fillId="2" borderId="2" xfId="0" applyNumberFormat="1" applyFont="1" applyFill="1" applyBorder="1" applyAlignment="1">
      <alignment vertical="top"/>
    </xf>
    <xf numFmtId="165" fontId="4" fillId="4" borderId="4" xfId="0" applyNumberFormat="1" applyFont="1" applyFill="1" applyBorder="1" applyAlignment="1">
      <alignment vertical="top"/>
    </xf>
    <xf numFmtId="166" fontId="4" fillId="2" borderId="2" xfId="0" applyNumberFormat="1" applyFont="1" applyFill="1" applyBorder="1" applyAlignment="1">
      <alignment vertical="top"/>
    </xf>
    <xf numFmtId="1" fontId="4" fillId="2" borderId="2" xfId="0" applyNumberFormat="1" applyFont="1" applyFill="1" applyBorder="1" applyAlignment="1">
      <alignment vertical="top"/>
    </xf>
    <xf numFmtId="0" fontId="5" fillId="0" borderId="5" xfId="0" applyFont="1" applyBorder="1" applyAlignment="1">
      <alignment vertical="top"/>
    </xf>
    <xf numFmtId="167" fontId="4" fillId="0" borderId="0" xfId="0" applyNumberFormat="1" applyFont="1" applyAlignment="1">
      <alignment vertical="top"/>
    </xf>
    <xf numFmtId="166" fontId="4" fillId="0" borderId="0" xfId="0" applyNumberFormat="1" applyFont="1" applyAlignment="1">
      <alignment vertical="top"/>
    </xf>
    <xf numFmtId="168" fontId="4" fillId="4" borderId="4" xfId="0" applyNumberFormat="1" applyFont="1" applyFill="1" applyBorder="1" applyAlignment="1">
      <alignment vertical="top"/>
    </xf>
    <xf numFmtId="0" fontId="6" fillId="0" borderId="0" xfId="0" applyFont="1" applyAlignment="1">
      <alignment vertical="top"/>
    </xf>
    <xf numFmtId="167" fontId="4" fillId="4" borderId="4" xfId="0" applyNumberFormat="1" applyFont="1" applyFill="1" applyBorder="1" applyAlignment="1">
      <alignment vertical="top"/>
    </xf>
    <xf numFmtId="168" fontId="4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167" fontId="3" fillId="0" borderId="0" xfId="0" applyNumberFormat="1" applyFont="1" applyAlignment="1">
      <alignment vertical="top"/>
    </xf>
    <xf numFmtId="169" fontId="3" fillId="0" borderId="0" xfId="0" applyNumberFormat="1" applyFont="1" applyAlignment="1">
      <alignment vertical="top"/>
    </xf>
    <xf numFmtId="0" fontId="4" fillId="4" borderId="4" xfId="0" applyFont="1" applyFill="1" applyBorder="1" applyAlignment="1">
      <alignment vertical="top" wrapText="1"/>
    </xf>
  </cellXfs>
  <cellStyles count="1">
    <cellStyle name="Normal" xfId="0" builtinId="0"/>
  </cellStyles>
  <dxfs count="1">
    <dxf>
      <font>
        <color rgb="FF8A1C12"/>
      </font>
      <fill>
        <patternFill>
          <bgColor rgb="FFF8D7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55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2.7109375" customWidth="1"/>
    <col min="2" max="2" width="40.7109375" customWidth="1"/>
    <col min="3" max="6" width="26.7109375" customWidth="1"/>
  </cols>
  <sheetData>
    <row r="2" spans="2:6">
      <c r="B2" s="1" t="s">
        <v>0</v>
      </c>
    </row>
    <row r="3" spans="2:6">
      <c r="B3" s="2" t="s">
        <v>1</v>
      </c>
    </row>
    <row r="4" spans="2:6">
      <c r="B4" s="3"/>
      <c r="C4" s="3" t="s">
        <v>2</v>
      </c>
      <c r="D4" s="3" t="s">
        <v>3</v>
      </c>
      <c r="E4" s="3" t="s">
        <v>4</v>
      </c>
      <c r="F4" s="3" t="s">
        <v>5</v>
      </c>
    </row>
    <row r="5" spans="2:6">
      <c r="B5" s="4" t="s">
        <v>6</v>
      </c>
      <c r="C5" s="5"/>
      <c r="D5" s="5" t="inlineStr">
        <is>
          <t>3540 St. Lawrence Ave, Reading, PA 19606 (with rear parcel)</t>
        </is>
      </c>
      <c r="E5" s="5"/>
      <c r="F5" s="5"/>
    </row>
    <row r="6" spans="2:6">
      <c r="B6" s="4" t="s">
        <v>7</v>
      </c>
      <c r="C6" s="5"/>
      <c r="D6" s="5" t="inlineStr">
        <is>
          <t>81532611565915; 81532611564864</t>
        </is>
      </c>
      <c r="E6" s="5"/>
      <c r="F6" s="5"/>
    </row>
    <row r="7" spans="2:6">
      <c r="B7" s="4" t="s">
        <v>8</v>
      </c>
      <c r="C7" s="6"/>
      <c r="D7" s="5" t="inlineStr">
        <is>
          <t>2025031513</t>
        </is>
      </c>
      <c r="E7" s="5"/>
      <c r="F7" s="5"/>
    </row>
    <row r="8" spans="2:6">
      <c r="B8" s="4" t="s">
        <v>9</v>
      </c>
      <c r="C8" s="6"/>
      <c r="D8" s="7">
        <v>45940</v>
      </c>
      <c r="E8" s="7"/>
      <c r="F8" s="7"/>
    </row>
    <row r="9" spans="2:6">
      <c r="B9" s="4" t="s">
        <v>10</v>
      </c>
      <c r="C9" s="6"/>
      <c r="D9" s="8">
        <v>390000.0</v>
      </c>
      <c r="E9" s="8"/>
      <c r="F9" s="8"/>
    </row>
    <row r="10" spans="2:6">
      <c r="B10" s="4" t="s">
        <v>11</v>
      </c>
      <c r="C10" s="9">
        <v>6500.0</v>
      </c>
      <c r="D10" s="9">
        <v>7354.0</v>
      </c>
      <c r="E10" s="9"/>
      <c r="F10" s="9"/>
    </row>
    <row r="11" spans="2:6">
      <c r="B11" s="4" t="s">
        <v>12</v>
      </c>
      <c r="C11" s="5"/>
      <c r="D11" s="5" t="inlineStr">
        <is>
          <t>County assessor: 7,354 sq ft on floor lines 1 to 3, plus 2,644 on the lower level (county code B1). Listing site: 6,000 sq ft. MLS: 2 stories.</t>
        </is>
      </c>
      <c r="E11" s="5"/>
      <c r="F11" s="5"/>
    </row>
    <row r="12" spans="2:6">
      <c r="B12" s="4" t="s">
        <v>13</v>
      </c>
      <c r="C12" s="10"/>
      <c r="D12" s="10">
        <v>0.57</v>
      </c>
      <c r="E12" s="10"/>
      <c r="F12" s="10"/>
    </row>
    <row r="13" spans="2:6">
      <c r="B13" s="4" t="s">
        <v>14</v>
      </c>
      <c r="C13" s="11"/>
      <c r="D13" s="11">
        <v>1890.0</v>
      </c>
      <c r="E13" s="11"/>
      <c r="F13" s="11"/>
    </row>
    <row r="14" spans="2:6">
      <c r="B14" s="4" t="s">
        <v>15</v>
      </c>
      <c r="C14" s="5"/>
      <c r="D14" s="5" t="inlineStr">
        <is>
          <t>BC and R-6</t>
        </is>
      </c>
      <c r="E14" s="5"/>
      <c r="F14" s="5"/>
    </row>
    <row r="15" spans="2:6">
      <c r="B15" s="4" t="s">
        <v>16</v>
      </c>
      <c r="C15" s="6"/>
      <c r="D15" s="5" t="inlineStr">
        <is>
          <t>St. Lawrence Borough; the property is the former borough hall</t>
        </is>
      </c>
      <c r="E15" s="5"/>
      <c r="F15" s="5"/>
    </row>
    <row r="16" spans="2:6">
      <c r="B16" s="4" t="s">
        <v>17</v>
      </c>
      <c r="C16" s="6"/>
      <c r="D16" s="5" t="inlineStr">
        <is>
          <t>Molnar Holdings LLC; buyer not read from the deed</t>
        </is>
      </c>
      <c r="E16" s="5"/>
      <c r="F16" s="5"/>
    </row>
    <row r="17" spans="2:6">
      <c r="B17" s="4" t="s">
        <v>18</v>
      </c>
      <c r="C17" s="6"/>
      <c r="D17" s="5" t="inlineStr">
        <is>
          <t>Fee Simple, per the MLS Ownership field; not verified</t>
        </is>
      </c>
      <c r="E17" s="5"/>
      <c r="F17" s="5"/>
    </row>
    <row r="18" spans="2:6">
      <c r="B18" s="4" t="s">
        <v>19</v>
      </c>
      <c r="C18" s="6"/>
      <c r="D18" s="5" t="inlineStr">
        <is>
          <t>No contingencies; closing in 30 days or as soon as possible (council motion, 9/11/2025)</t>
        </is>
      </c>
      <c r="E18" s="5"/>
      <c r="F18" s="5"/>
    </row>
    <row r="19" spans="2:6">
      <c r="B19" s="4" t="s">
        <v>20</v>
      </c>
      <c r="C19" s="6"/>
      <c r="D19" s="5" t="inlineStr">
        <is>
          <t>Listed at $575,000 on 1/10/2025; reduced to $499,000 on 7/15/2025; sold on 10/10/2025 (MLS history)</t>
        </is>
      </c>
      <c r="E19" s="5"/>
      <c r="F19" s="5"/>
    </row>
    <row r="20" spans="2:6">
      <c r="B20" s="4" t="s">
        <v>21</v>
      </c>
      <c r="C20" s="6"/>
      <c r="D20" s="5" t="inlineStr">
        <is>
          <t>Excluded from the sale: furniture, fixtures, equipment and inventory of seller (MLS)</t>
        </is>
      </c>
      <c r="E20" s="5"/>
      <c r="F20" s="5"/>
    </row>
    <row r="21" spans="2:6">
      <c r="B21" s="4" t="s">
        <v>22</v>
      </c>
      <c r="C21" s="5"/>
      <c r="D21" s="5" t="inlineStr">
        <is>
          <t>Berks County assessment record (open data, retrieved 9/30/2026); St. Lawrence Borough Council minutes, 9/11/2025; MLS PABK2052516 on two listing sites</t>
        </is>
      </c>
      <c r="E21" s="5"/>
      <c r="F21" s="5"/>
    </row>
    <row r="22" spans="2:6">
      <c r="B22" s="4" t="s">
        <v>23</v>
      </c>
      <c r="C22" s="5"/>
      <c r="D22" s="5" t="inlineStr">
        <is>
          <t>Public records reviewed; no transaction-party verification performed</t>
        </is>
      </c>
      <c r="E22" s="5"/>
      <c r="F22" s="5"/>
    </row>
    <row r="24" spans="2:6">
      <c r="B24" s="12" t="s">
        <v>24</v>
      </c>
    </row>
    <row r="25" spans="2:6">
      <c r="B25" s="4" t="s">
        <v>25</v>
      </c>
      <c r="D25" s="13">
        <f>IF(OR(D9="",D10=""),"",D9/D10)</f>
        <v/>
      </c>
      <c r="E25" s="13">
        <f>IF(OR(E9="",E10=""),"",E9/E10)</f>
        <v/>
      </c>
      <c r="F25" s="13">
        <f>IF(OR(F9="",F10=""),"",F9/F10)</f>
        <v/>
      </c>
    </row>
    <row r="26" spans="2:6">
      <c r="B26" s="4" t="s">
        <v>26</v>
      </c>
      <c r="C26" s="14">
        <f>IF(OR(C12="",C10=""),"",C12*SqFtPerAcre/C10)</f>
        <v/>
      </c>
      <c r="D26" s="14">
        <f>IF(OR(D12="",D10=""),"",D12*SqFtPerAcre/D10)</f>
        <v/>
      </c>
      <c r="E26" s="14">
        <f>IF(OR(E12="",E10=""),"",E12*SqFtPerAcre/E10)</f>
        <v/>
      </c>
      <c r="F26" s="14">
        <f>IF(OR(F12="",F10=""),"",F12*SqFtPerAcre/F10)</f>
        <v/>
      </c>
    </row>
    <row r="27" spans="2:6">
      <c r="B27" s="12" t="s">
        <v>27</v>
      </c>
    </row>
    <row r="28" spans="2:6">
      <c r="B28" s="4" t="s">
        <v>28</v>
      </c>
      <c r="D28" s="15">
        <v>0.0</v>
      </c>
      <c r="E28" s="15"/>
      <c r="F28" s="15"/>
    </row>
    <row r="29" spans="2:6">
      <c r="B29" s="16" t="s">
        <v>29</v>
      </c>
      <c r="D29" s="13">
        <f>IF(OR(D25="",D28=""),"",D25*(1+D28))</f>
        <v/>
      </c>
      <c r="E29" s="13">
        <f>IF(OR(E25="",E28=""),"",E25*(1+E28))</f>
        <v/>
      </c>
      <c r="F29" s="13">
        <f>IF(OR(F25="",F28=""),"",F25*(1+F28))</f>
        <v/>
      </c>
    </row>
    <row r="30" spans="2:6">
      <c r="B30" s="4" t="s">
        <v>30</v>
      </c>
      <c r="D30" s="15">
        <v>0.0</v>
      </c>
      <c r="E30" s="15"/>
      <c r="F30" s="15"/>
    </row>
    <row r="31" spans="2:6">
      <c r="B31" s="16" t="s">
        <v>29</v>
      </c>
      <c r="D31" s="13">
        <f>IF(OR(D29="",D30=""),"",D29*(1+D30))</f>
        <v/>
      </c>
      <c r="E31" s="13">
        <f>IF(OR(E29="",E30=""),"",E29*(1+E30))</f>
        <v/>
      </c>
      <c r="F31" s="13">
        <f>IF(OR(F29="",F30=""),"",F29*(1+F30))</f>
        <v/>
      </c>
    </row>
    <row r="32" spans="2:6">
      <c r="B32" s="4" t="s">
        <v>31</v>
      </c>
      <c r="D32" s="15">
        <v>0.05</v>
      </c>
      <c r="E32" s="15"/>
      <c r="F32" s="15"/>
    </row>
    <row r="33" spans="2:6">
      <c r="B33" s="16" t="s">
        <v>29</v>
      </c>
      <c r="D33" s="13">
        <f>IF(OR(D31="",D32=""),"",D31*(1+D32))</f>
        <v/>
      </c>
      <c r="E33" s="13">
        <f>IF(OR(E31="",E32=""),"",E31*(1+E32))</f>
        <v/>
      </c>
      <c r="F33" s="13">
        <f>IF(OR(F31="",F32=""),"",F31*(1+F32))</f>
        <v/>
      </c>
    </row>
    <row r="34" spans="2:6">
      <c r="B34" s="4" t="s">
        <v>32</v>
      </c>
      <c r="D34" s="17">
        <v>2.5</v>
      </c>
      <c r="E34" s="17"/>
      <c r="F34" s="17"/>
    </row>
    <row r="35" spans="2:6">
      <c r="B35" s="16" t="s">
        <v>29</v>
      </c>
      <c r="D35" s="13">
        <f>IF(OR(D33="",D34=""),"",D33+D34)</f>
        <v/>
      </c>
      <c r="E35" s="13">
        <f>IF(OR(E33="",E34=""),"",E33+E34)</f>
        <v/>
      </c>
      <c r="F35" s="13">
        <f>IF(OR(F33="",F34=""),"",F33+F34)</f>
        <v/>
      </c>
    </row>
    <row r="36" spans="2:6">
      <c r="B36" s="4" t="s">
        <v>33</v>
      </c>
      <c r="D36" s="15">
        <v>0.08</v>
      </c>
      <c r="E36" s="15"/>
      <c r="F36" s="15"/>
    </row>
    <row r="37" spans="2:6">
      <c r="B37" s="16" t="s">
        <v>29</v>
      </c>
      <c r="D37" s="13">
        <f>IF(OR(D35="",D36=""),"",D35*(1+D36))</f>
        <v/>
      </c>
      <c r="E37" s="13">
        <f>IF(OR(E35="",E36=""),"",E35*(1+E36))</f>
        <v/>
      </c>
      <c r="F37" s="13">
        <f>IF(OR(F35="",F36=""),"",F35*(1+F36))</f>
        <v/>
      </c>
    </row>
    <row r="39" spans="2:6">
      <c r="B39" s="12" t="s">
        <v>34</v>
      </c>
    </row>
    <row r="40" spans="2:6">
      <c r="B40" s="4" t="s">
        <v>35</v>
      </c>
      <c r="D40" s="15">
        <v>0.05</v>
      </c>
      <c r="E40" s="15"/>
      <c r="F40" s="15"/>
    </row>
    <row r="41" spans="2:6">
      <c r="B41" s="4" t="s">
        <v>36</v>
      </c>
      <c r="D41" s="15">
        <v>-0.05</v>
      </c>
      <c r="E41" s="15"/>
      <c r="F41" s="15"/>
    </row>
    <row r="42" spans="2:6">
      <c r="B42" s="4" t="s">
        <v>37</v>
      </c>
      <c r="D42" s="15">
        <v>0.1</v>
      </c>
      <c r="E42" s="15"/>
      <c r="F42" s="15"/>
    </row>
    <row r="43" spans="2:6">
      <c r="B43" s="4" t="s">
        <v>38</v>
      </c>
      <c r="D43" s="15">
        <v>0.0</v>
      </c>
      <c r="E43" s="15"/>
      <c r="F43" s="15"/>
    </row>
    <row r="44" spans="2:6">
      <c r="B44" s="4" t="s">
        <v>39</v>
      </c>
      <c r="D44" s="15">
        <v>-0.03</v>
      </c>
      <c r="E44" s="15"/>
      <c r="F44" s="15"/>
    </row>
    <row r="45" spans="2:6">
      <c r="B45" s="4" t="s">
        <v>40</v>
      </c>
      <c r="D45" s="15">
        <v>0.0</v>
      </c>
      <c r="E45" s="15"/>
      <c r="F45" s="15"/>
    </row>
    <row r="46" spans="2:6">
      <c r="B46" s="4" t="s">
        <v>41</v>
      </c>
      <c r="D46" s="15">
        <v>0.0</v>
      </c>
      <c r="E46" s="15"/>
      <c r="F46" s="15"/>
    </row>
    <row r="47" spans="2:6">
      <c r="B47" s="4" t="s">
        <v>42</v>
      </c>
      <c r="D47" s="18">
        <f>IF(COUNTBLANK(D40:D46)&gt;0,"",SUM(D40:D46))</f>
        <v/>
      </c>
      <c r="E47" s="18">
        <f>IF(COUNTBLANK(E40:E46)&gt;0,"",SUM(E40:E46))</f>
        <v/>
      </c>
      <c r="F47" s="18">
        <f>IF(COUNTBLANK(F40:F46)&gt;0,"",SUM(F40:F46))</f>
        <v/>
      </c>
    </row>
    <row r="48" spans="2:6">
      <c r="B48" s="19" t="s">
        <v>29</v>
      </c>
      <c r="D48" s="20">
        <f>IF(OR(D37="",D47=""),"",D37*(1+D47))</f>
        <v/>
      </c>
      <c r="E48" s="20">
        <f>IF(OR(E37="",E47=""),"",E37*(1+E47))</f>
        <v/>
      </c>
      <c r="F48" s="20">
        <f>IF(OR(F37="",F47=""),"",F37*(1+F47))</f>
        <v/>
      </c>
    </row>
    <row r="49" spans="2:6">
      <c r="B49" s="4" t="s">
        <v>43</v>
      </c>
      <c r="D49" s="18">
        <f>IF(D48="","",(ABS(D28)*D25+ABS(D30)*D29+ABS(D32)*D31+ABS(D34)+ABS(D36)*D35+SUMPRODUCT(ABS(D40:D46))*D37)/D25)</f>
        <v/>
      </c>
      <c r="E49" s="18">
        <f>IF(E48="","",(ABS(E28)*E25+ABS(E30)*E29+ABS(E32)*E31+ABS(E34)+ABS(E36)*E35+SUMPRODUCT(ABS(E40:E46))*E37)/E25)</f>
        <v/>
      </c>
      <c r="F49" s="18">
        <f>IF(F48="","",(ABS(F28)*F25+ABS(F30)*F29+ABS(F32)*F31+ABS(F34)+ABS(F36)*F35+SUMPRODUCT(ABS(F40:F46))*F37)/F25)</f>
        <v/>
      </c>
    </row>
    <row r="50" spans="2:6">
      <c r="B50" s="4" t="s">
        <v>44</v>
      </c>
      <c r="D50" s="18">
        <f>IF(D48="","",D48/D25-1)</f>
        <v/>
      </c>
      <c r="E50" s="18">
        <f>IF(E48="","",E48/E25-1)</f>
        <v/>
      </c>
      <c r="F50" s="18">
        <f>IF(F48="","",F48/F25-1)</f>
        <v/>
      </c>
    </row>
    <row r="52" spans="2:6">
      <c r="B52" s="12" t="s">
        <v>45</v>
      </c>
    </row>
    <row r="53" spans="2:6">
      <c r="B53" s="4" t="s">
        <v>46</v>
      </c>
      <c r="C53" s="17">
        <v>58.5</v>
      </c>
    </row>
    <row r="54" spans="2:6">
      <c r="B54" s="19" t="s">
        <v>47</v>
      </c>
      <c r="C54" s="21">
        <f>IF(OR(C53="",C10=""),"",ROUND(C53*C10,ValueRounding))</f>
        <v/>
      </c>
    </row>
    <row r="55" spans="2:6">
      <c r="B55" s="4" t="s">
        <v>48</v>
      </c>
      <c r="C55" s="22"/>
    </row>
  </sheetData>
  <conditionalFormatting sqref="D49:F49">
    <cfRule type="expression" dxfId="0" priority="1">
      <formula>AND(ISNUMBER(D49),D49&gt;GrossAdjustmentFlag)</formula>
    </cfRule>
  </conditionalFormatting>
  <dataValidations count="21">
    <dataValidation type="decimal" allowBlank="1" showInputMessage="1" showErrorMessage="1" promptTitle="Appraiser input" prompt="Percentage, for example 5% or -3%" sqref="D28">
      <formula1>-0.5</formula1>
      <formula2>0.5</formula2>
    </dataValidation>
    <dataValidation type="decimal" allowBlank="1" showInputMessage="1" showErrorMessage="1" promptTitle="Appraiser input" prompt="Percentage, for example 5% or -3%" sqref="D30">
      <formula1>-0.5</formula1>
      <formula2>0.5</formula2>
    </dataValidation>
    <dataValidation type="decimal" allowBlank="1" showInputMessage="1" showErrorMessage="1" promptTitle="Appraiser input" prompt="Percentage, for example 5% or -3%" sqref="D32">
      <formula1>-0.5</formula1>
      <formula2>0.5</formula2>
    </dataValidation>
    <dataValidation type="decimal" allowBlank="1" showInputMessage="1" showErrorMessage="1" promptTitle="Appraiser input" prompt="Percentage, for example 5% or -3%" sqref="D36">
      <formula1>-0.5</formula1>
      <formula2>0.5</formula2>
    </dataValidation>
    <dataValidation type="decimal" allowBlank="1" showInputMessage="1" showErrorMessage="1" sqref="D40:D46">
      <formula1>-0.5</formula1>
      <formula2>0.5</formula2>
    </dataValidation>
    <dataValidation type="date" operator="greaterThanOrEqual" allowBlank="1" showInputMessage="1" showErrorMessage="1" sqref="D8">
      <formula1>36526</formula1>
    </dataValidation>
    <dataValidation type="decimal" operator="greaterThan" allowBlank="1" showInputMessage="1" showErrorMessage="1" promptTitle="Appraiser input" prompt="Pick the building area basis from the reported areas above" sqref="D10">
      <formula1>0</formula1>
    </dataValidation>
    <dataValidation type="decimal" allowBlank="1" showInputMessage="1" showErrorMessage="1" promptTitle="Appraiser input" prompt="Percentage, for example 5% or -3%" sqref="E28">
      <formula1>-0.5</formula1>
      <formula2>0.5</formula2>
    </dataValidation>
    <dataValidation type="decimal" allowBlank="1" showInputMessage="1" showErrorMessage="1" promptTitle="Appraiser input" prompt="Percentage, for example 5% or -3%" sqref="E30">
      <formula1>-0.5</formula1>
      <formula2>0.5</formula2>
    </dataValidation>
    <dataValidation type="decimal" allowBlank="1" showInputMessage="1" showErrorMessage="1" promptTitle="Appraiser input" prompt="Percentage, for example 5% or -3%" sqref="E32">
      <formula1>-0.5</formula1>
      <formula2>0.5</formula2>
    </dataValidation>
    <dataValidation type="decimal" allowBlank="1" showInputMessage="1" showErrorMessage="1" promptTitle="Appraiser input" prompt="Percentage, for example 5% or -3%" sqref="E36">
      <formula1>-0.5</formula1>
      <formula2>0.5</formula2>
    </dataValidation>
    <dataValidation type="decimal" allowBlank="1" showInputMessage="1" showErrorMessage="1" sqref="E40:E46">
      <formula1>-0.5</formula1>
      <formula2>0.5</formula2>
    </dataValidation>
    <dataValidation type="date" operator="greaterThanOrEqual" allowBlank="1" showInputMessage="1" showErrorMessage="1" sqref="E8">
      <formula1>36526</formula1>
    </dataValidation>
    <dataValidation type="decimal" operator="greaterThan" allowBlank="1" showInputMessage="1" showErrorMessage="1" promptTitle="Appraiser input" prompt="Pick the building area basis from the reported areas above" sqref="E10">
      <formula1>0</formula1>
    </dataValidation>
    <dataValidation type="decimal" allowBlank="1" showInputMessage="1" showErrorMessage="1" promptTitle="Appraiser input" prompt="Percentage, for example 5% or -3%" sqref="F28">
      <formula1>-0.5</formula1>
      <formula2>0.5</formula2>
    </dataValidation>
    <dataValidation type="decimal" allowBlank="1" showInputMessage="1" showErrorMessage="1" promptTitle="Appraiser input" prompt="Percentage, for example 5% or -3%" sqref="F30">
      <formula1>-0.5</formula1>
      <formula2>0.5</formula2>
    </dataValidation>
    <dataValidation type="decimal" allowBlank="1" showInputMessage="1" showErrorMessage="1" promptTitle="Appraiser input" prompt="Percentage, for example 5% or -3%" sqref="F32">
      <formula1>-0.5</formula1>
      <formula2>0.5</formula2>
    </dataValidation>
    <dataValidation type="decimal" allowBlank="1" showInputMessage="1" showErrorMessage="1" promptTitle="Appraiser input" prompt="Percentage, for example 5% or -3%" sqref="F36">
      <formula1>-0.5</formula1>
      <formula2>0.5</formula2>
    </dataValidation>
    <dataValidation type="decimal" allowBlank="1" showInputMessage="1" showErrorMessage="1" sqref="F40:F46">
      <formula1>-0.5</formula1>
      <formula2>0.5</formula2>
    </dataValidation>
    <dataValidation type="date" operator="greaterThanOrEqual" allowBlank="1" showInputMessage="1" showErrorMessage="1" sqref="F8">
      <formula1>36526</formula1>
    </dataValidation>
    <dataValidation type="decimal" operator="greaterThan" allowBlank="1" showInputMessage="1" showErrorMessage="1" promptTitle="Appraiser input" prompt="Pick the building area basis from the reported areas above" sqref="F10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49</v>
      </c>
      <c r="B1" t="s">
        <v>50</v>
      </c>
    </row>
    <row r="2" spans="1:2">
      <c r="A2" t="s">
        <v>51</v>
      </c>
      <c r="B2">
        <v>43560</v>
      </c>
    </row>
    <row r="3" spans="1:2">
      <c r="A3" t="s">
        <v>52</v>
      </c>
      <c r="B3">
        <v>-3</v>
      </c>
    </row>
    <row r="4" spans="1:2">
      <c r="A4" t="s">
        <v>53</v>
      </c>
      <c r="B4">
        <v>0.25</v>
      </c>
    </row>
    <row r="6" spans="1:2">
      <c r="A6" t="s">
        <v>54</v>
      </c>
      <c r="B6">
        <f>COUNTA('Sales Comparison'!D5:D22)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Sales Comparison</vt:lpstr>
      <vt:lpstr>Settings</vt:lpstr>
      <vt:lpstr>GrossAdjustmentFlag</vt:lpstr>
      <vt:lpstr>SqFtPerAcre</vt:lpstr>
      <vt:lpstr>ValueRounding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comparison grid (demonstration template)</dc:title>
  <dc:creator>comp-to-excel</dc:creator>
  <cp:lastModifiedBy>comp-to-excel</cp:lastModifiedBy>
  <dcterms:created xsi:type="dcterms:W3CDTF">2026-09-30T12:00:00Z</dcterms:created>
  <dcterms:modified xsi:type="dcterms:W3CDTF">2026-09-30T12:00:00Z</dcterms:modified>
</cp:coreProperties>
</file>