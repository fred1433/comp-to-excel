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<sst xmlns="http://schemas.openxmlformats.org/spreadsheetml/2006/main" count="55" uniqueCount="50">
  <si>
    <t>Sales comparison grid (demonstration template)</t>
  </si>
  <si>
    <t>Blue cells: reported facts, entered from approved records. Yellow cells: appraiser input. A blank adjustment is not zero: adjusted lines stay blank until the adjustments above them are entered.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</si>
  <si>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</si>
  <si>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</si>
  <si>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</si>
  <si>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</si>
  <si>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</si>
  <si>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</si>
  <si>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</si>
  <si>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</t>
  </si>
  <si>
    <t>Sale price ($)</t>
  </si>
  <si>
    <t>Gross building area (sq ft, above grade)</t>
  </si>
  <si>
    <t>Land area (acres)</t>
  </si>
  <si>
    <t>Year built</t>
  </si>
  <si>
    <t>Zoning</t>
  </si>
  <si>
    <t>Property rights conveyed (reported)</t>
  </si>
  <si>
    <t>Conditions of sale (reported facts)</t>
  </si>
  <si>
    <t>Sources</t>
  </si>
  <si>
    <t>Verification</t>
  </si>
  <si>
    <t>Calculated from reported facts</t>
  </si>
  <si>
    <t>Sale price per sq ft of gross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</si>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</sst>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auto="1"/>
      </top>
      <bottom/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5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5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5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38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/>
      <c r="E5" s="5"/>
      <c r="F5" s="5"/>
    </row>
    <row r="6" spans="2:6">
      <c r="B6" s="4" t="s">
        <v>7</v>
      </c>
      <c r="C6" s="5"/>
      <c r="D6" s="5"/>
      <c r="E6" s="5"/>
      <c r="F6" s="5"/>
    </row>
    <row r="7" spans="2:6">
      <c r="B7" s="4" t="s">
        <v>8</v>
      </c>
      <c r="C7" s="6"/>
      <c r="D7" s="5"/>
      <c r="E7" s="5"/>
      <c r="F7" s="5"/>
    </row>
    <row r="8" spans="2:6">
      <c r="B8" s="4" t="s">
        <v>9</v>
      </c>
      <c r="C8" s="6"/>
      <c r="D8" s="7"/>
      <c r="E8" s="7"/>
      <c r="F8" s="7"/>
    </row>
    <row r="9" spans="2:6">
      <c r="B9" s="4" t="s">
        <v>10</v>
      </c>
      <c r="C9" s="6"/>
      <c r="D9" s="8"/>
      <c r="E9" s="8"/>
      <c r="F9" s="8"/>
    </row>
    <row r="10" spans="2:6">
      <c r="B10" s="4" t="s">
        <v>11</v>
      </c>
      <c r="C10" s="8"/>
      <c r="D10" s="8"/>
      <c r="E10" s="8"/>
      <c r="F10" s="8"/>
    </row>
    <row r="11" spans="2:6">
      <c r="B11" s="4" t="s">
        <v>12</v>
      </c>
      <c r="C11" s="9"/>
      <c r="D11" s="9"/>
      <c r="E11" s="9"/>
      <c r="F11" s="9"/>
    </row>
    <row r="12" spans="2:6">
      <c r="B12" s="4" t="s">
        <v>13</v>
      </c>
      <c r="C12" s="10"/>
      <c r="D12" s="10"/>
      <c r="E12" s="10"/>
      <c r="F12" s="10"/>
    </row>
    <row r="13" spans="2:6">
      <c r="B13" s="4" t="s">
        <v>14</v>
      </c>
      <c r="C13" s="5"/>
      <c r="D13" s="5"/>
      <c r="E13" s="5"/>
      <c r="F13" s="5"/>
    </row>
    <row r="14" spans="2:6">
      <c r="B14" s="4" t="s">
        <v>15</v>
      </c>
      <c r="C14" s="6"/>
      <c r="D14" s="5"/>
      <c r="E14" s="5"/>
      <c r="F14" s="5"/>
    </row>
    <row r="15" spans="2:6">
      <c r="B15" s="4" t="s">
        <v>16</v>
      </c>
      <c r="C15" s="6"/>
      <c r="D15" s="5"/>
      <c r="E15" s="5"/>
      <c r="F15" s="5"/>
    </row>
    <row r="16" spans="2:6">
      <c r="B16" s="4" t="s">
        <v>17</v>
      </c>
      <c r="C16" s="5"/>
      <c r="D16" s="5"/>
      <c r="E16" s="5"/>
      <c r="F16" s="5"/>
    </row>
    <row r="17" spans="2:6">
      <c r="B17" s="4" t="s">
        <v>18</v>
      </c>
      <c r="C17" s="5"/>
      <c r="D17" s="5"/>
      <c r="E17" s="5"/>
      <c r="F17" s="5"/>
    </row>
    <row r="19" spans="2:6">
      <c r="B19" s="11" t="s">
        <v>19</v>
      </c>
    </row>
    <row r="20" spans="2:6">
      <c r="B20" s="4" t="s">
        <v>20</v>
      </c>
      <c r="D20" s="12">
        <f>IF(OR(D9="",D10=""),"",D9/D10)</f>
        <v/>
      </c>
      <c r="E20" s="12">
        <f>IF(OR(E9="",E10=""),"",E9/E10)</f>
        <v/>
      </c>
      <c r="F20" s="12">
        <f>IF(OR(F9="",F10=""),"",F9/F10)</f>
        <v/>
      </c>
    </row>
    <row r="21" spans="2:6">
      <c r="B21" s="4" t="s">
        <v>21</v>
      </c>
      <c r="C21" s="13">
        <f>IF(OR(C11="",C10=""),"",C11*SqFtPerAcre/C10)</f>
        <v/>
      </c>
      <c r="D21" s="13">
        <f>IF(OR(D11="",D10=""),"",D11*SqFtPerAcre/D10)</f>
        <v/>
      </c>
      <c r="E21" s="13">
        <f>IF(OR(E11="",E10=""),"",E11*SqFtPerAcre/E10)</f>
        <v/>
      </c>
      <c r="F21" s="13">
        <f>IF(OR(F11="",F10=""),"",F11*SqFtPerAcre/F10)</f>
        <v/>
      </c>
    </row>
    <row r="22" spans="2:6">
      <c r="B22" s="11" t="s">
        <v>22</v>
      </c>
    </row>
    <row r="23" spans="2:6">
      <c r="B23" s="4" t="s">
        <v>23</v>
      </c>
      <c r="D23" s="14"/>
      <c r="E23" s="14"/>
      <c r="F23" s="14"/>
    </row>
    <row r="24" spans="2:6">
      <c r="B24" s="15" t="s">
        <v>24</v>
      </c>
      <c r="D24" s="12">
        <f>IF(OR(D20="",D23=""),"",D20*(1+D23))</f>
        <v/>
      </c>
      <c r="E24" s="12">
        <f>IF(OR(E20="",E23=""),"",E20*(1+E23))</f>
        <v/>
      </c>
      <c r="F24" s="12">
        <f>IF(OR(F20="",F23=""),"",F20*(1+F23))</f>
        <v/>
      </c>
    </row>
    <row r="25" spans="2:6">
      <c r="B25" s="4" t="s">
        <v>25</v>
      </c>
      <c r="D25" s="14"/>
      <c r="E25" s="14"/>
      <c r="F25" s="14"/>
    </row>
    <row r="26" spans="2:6">
      <c r="B26" s="15" t="s">
        <v>24</v>
      </c>
      <c r="D26" s="12">
        <f>IF(OR(D24="",D25=""),"",D24*(1+D25))</f>
        <v/>
      </c>
      <c r="E26" s="12">
        <f>IF(OR(E24="",E25=""),"",E24*(1+E25))</f>
        <v/>
      </c>
      <c r="F26" s="12">
        <f>IF(OR(F24="",F25=""),"",F24*(1+F25))</f>
        <v/>
      </c>
    </row>
    <row r="27" spans="2:6">
      <c r="B27" s="4" t="s">
        <v>26</v>
      </c>
      <c r="D27" s="14"/>
      <c r="E27" s="14"/>
      <c r="F27" s="14"/>
    </row>
    <row r="28" spans="2:6">
      <c r="B28" s="15" t="s">
        <v>24</v>
      </c>
      <c r="D28" s="12">
        <f>IF(OR(D26="",D27=""),"",D26*(1+D27))</f>
        <v/>
      </c>
      <c r="E28" s="12">
        <f>IF(OR(E26="",E27=""),"",E26*(1+E27))</f>
        <v/>
      </c>
      <c r="F28" s="12">
        <f>IF(OR(F26="",F27=""),"",F26*(1+F27))</f>
        <v/>
      </c>
    </row>
    <row r="29" spans="2:6">
      <c r="B29" s="4" t="s">
        <v>27</v>
      </c>
      <c r="D29" s="16"/>
      <c r="E29" s="16"/>
      <c r="F29" s="16"/>
    </row>
    <row r="30" spans="2:6">
      <c r="B30" s="15" t="s">
        <v>24</v>
      </c>
      <c r="D30" s="12">
        <f>IF(OR(D28="",D29=""),"",D28+D29)</f>
        <v/>
      </c>
      <c r="E30" s="12">
        <f>IF(OR(E28="",E29=""),"",E28+E29)</f>
        <v/>
      </c>
      <c r="F30" s="12">
        <f>IF(OR(F28="",F29=""),"",F28+F29)</f>
        <v/>
      </c>
    </row>
    <row r="31" spans="2:6">
      <c r="B31" s="4" t="s">
        <v>28</v>
      </c>
      <c r="D31" s="14"/>
      <c r="E31" s="14"/>
      <c r="F31" s="14"/>
    </row>
    <row r="32" spans="2:6">
      <c r="B32" s="15" t="s">
        <v>24</v>
      </c>
      <c r="D32" s="12">
        <f>IF(OR(D30="",D31=""),"",D30*(1+D31))</f>
        <v/>
      </c>
      <c r="E32" s="12">
        <f>IF(OR(E30="",E31=""),"",E30*(1+E31))</f>
        <v/>
      </c>
      <c r="F32" s="12">
        <f>IF(OR(F30="",F31=""),"",F30*(1+F31))</f>
        <v/>
      </c>
    </row>
    <row r="34" spans="2:6">
      <c r="B34" s="11" t="s">
        <v>29</v>
      </c>
    </row>
    <row r="35" spans="2:6">
      <c r="B35" s="4" t="s">
        <v>30</v>
      </c>
      <c r="D35" s="14"/>
      <c r="E35" s="14"/>
      <c r="F35" s="14"/>
    </row>
    <row r="36" spans="2:6">
      <c r="B36" s="4" t="s">
        <v>31</v>
      </c>
      <c r="D36" s="14"/>
      <c r="E36" s="14"/>
      <c r="F36" s="14"/>
    </row>
    <row r="37" spans="2:6">
      <c r="B37" s="4" t="s">
        <v>32</v>
      </c>
      <c r="D37" s="14"/>
      <c r="E37" s="14"/>
      <c r="F37" s="14"/>
    </row>
    <row r="38" spans="2:6">
      <c r="B38" s="4" t="s">
        <v>33</v>
      </c>
      <c r="D38" s="14"/>
      <c r="E38" s="14"/>
      <c r="F38" s="14"/>
    </row>
    <row r="39" spans="2:6">
      <c r="B39" s="4" t="s">
        <v>34</v>
      </c>
      <c r="D39" s="14"/>
      <c r="E39" s="14"/>
      <c r="F39" s="14"/>
    </row>
    <row r="40" spans="2:6">
      <c r="B40" s="4" t="s">
        <v>35</v>
      </c>
      <c r="D40" s="14"/>
      <c r="E40" s="14"/>
      <c r="F40" s="14"/>
    </row>
    <row r="41" spans="2:6">
      <c r="B41" s="4" t="s">
        <v>36</v>
      </c>
      <c r="D41" s="14"/>
      <c r="E41" s="14"/>
      <c r="F41" s="14"/>
    </row>
    <row r="42" spans="2:6">
      <c r="B42" s="4" t="s">
        <v>37</v>
      </c>
      <c r="D42" s="17">
        <f>IF(COUNTBLANK(D35:D41)&gt;0,"",SUM(D35:D41))</f>
        <v/>
      </c>
      <c r="E42" s="17">
        <f>IF(COUNTBLANK(E35:E41)&gt;0,"",SUM(E35:E41))</f>
        <v/>
      </c>
      <c r="F42" s="17">
        <f>IF(COUNTBLANK(F35:F41)&gt;0,"",SUM(F35:F41))</f>
        <v/>
      </c>
    </row>
    <row r="43" spans="2:6">
      <c r="B43" s="18" t="s">
        <v>24</v>
      </c>
      <c r="D43" s="19">
        <f>IF(OR(D32="",D42=""),"",D32*(1+D42))</f>
        <v/>
      </c>
      <c r="E43" s="19">
        <f>IF(OR(E32="",E42=""),"",E32*(1+E42))</f>
        <v/>
      </c>
      <c r="F43" s="19">
        <f>IF(OR(F32="",F42=""),"",F32*(1+F42))</f>
        <v/>
      </c>
    </row>
    <row r="44" spans="2:6">
      <c r="B44" s="4" t="s">
        <v>38</v>
      </c>
      <c r="D44" s="17">
        <f>IF(D43="","",(ABS(D23)*D20+ABS(D25)*D24+ABS(D27)*D26+ABS(D29)+ABS(D31)*D30+SUMPRODUCT(ABS(D35:D41))*D32)/D20)</f>
        <v>0</v>
      </c>
      <c r="E44" s="17">
        <f>IF(E43="","",(ABS(E23)*E20+ABS(E25)*E24+ABS(E27)*E26+ABS(E29)+ABS(E31)*E30+SUMPRODUCT(ABS(E35:E41))*E32)/E20)</f>
        <v>0</v>
      </c>
      <c r="F44" s="17">
        <f>IF(F43="","",(ABS(F23)*F20+ABS(F25)*F24+ABS(F27)*F26+ABS(F29)+ABS(F31)*F30+SUMPRODUCT(ABS(F35:F41))*F32)/F20)</f>
        <v>0</v>
      </c>
    </row>
    <row r="45" spans="2:6">
      <c r="B45" s="4" t="s">
        <v>39</v>
      </c>
      <c r="D45" s="17">
        <f>IF(D43="","",D43/D20-1)</f>
        <v/>
      </c>
      <c r="E45" s="17">
        <f>IF(E43="","",E43/E20-1)</f>
        <v/>
      </c>
      <c r="F45" s="17">
        <f>IF(F43="","",F43/F20-1)</f>
        <v/>
      </c>
    </row>
    <row r="47" spans="2:6">
      <c r="B47" s="11" t="s">
        <v>40</v>
      </c>
    </row>
    <row r="48" spans="2:6">
      <c r="B48" s="4" t="s">
        <v>41</v>
      </c>
      <c r="C48" s="16"/>
    </row>
    <row r="49" spans="2:3">
      <c r="B49" s="18" t="s">
        <v>42</v>
      </c>
      <c r="C49" s="20">
        <f>IF(OR(C48="",C10=""),"",ROUND(C48*C10,ValueRounding))</f>
        <v/>
      </c>
    </row>
    <row r="50" spans="2:3">
      <c r="B50" s="4" t="s">
        <v>43</v>
      </c>
      <c r="C50" s="21"/>
    </row>
  </sheetData>
  <conditionalFormatting sqref="D44:F44">
    <cfRule type="expression" dxfId="0" priority="1">
      <formula>AND(ISNUMBER(D44),D44&gt;GrossAdjustmentFlag)</formula>
    </cfRule>
  </conditionalFormatting>
  <dataValidations count="18">
    <dataValidation type="decimal" allowBlank="1" showInputMessage="1" showErrorMessage="1" promptTitle="Appraiser input" prompt="Percentage, for example 5% or -3%" sqref="D23">
      <formula1>-0.5</formula1>
      <formula2>0.5</formula2>
    </dataValidation>
    <dataValidation type="decimal" allowBlank="1" showInputMessage="1" showErrorMessage="1" promptTitle="Appraiser input" prompt="Percentage, for example 5% or -3%" sqref="D25">
      <formula1>-0.5</formula1>
      <formula2>0.5</formula2>
    </dataValidation>
    <dataValidation type="decimal" allowBlank="1" showInputMessage="1" showErrorMessage="1" promptTitle="Appraiser input" prompt="Percentage, for example 5% or -3%" sqref="D27">
      <formula1>-0.5</formula1>
      <formula2>0.5</formula2>
    </dataValidation>
    <dataValidation type="decimal" allowBlank="1" showInputMessage="1" showErrorMessage="1" promptTitle="Appraiser input" prompt="Percentage, for example 5% or -3%" sqref="D31">
      <formula1>-0.5</formula1>
      <formula2>0.5</formula2>
    </dataValidation>
    <dataValidation type="decimal" allowBlank="1" showInputMessage="1" showErrorMessage="1" sqref="D35:D41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allowBlank="1" showInputMessage="1" showErrorMessage="1" promptTitle="Appraiser input" prompt="Percentage, for example 5% or -3%" sqref="E23">
      <formula1>-0.5</formula1>
      <formula2>0.5</formula2>
    </dataValidation>
    <dataValidation type="decimal" allowBlank="1" showInputMessage="1" showErrorMessage="1" promptTitle="Appraiser input" prompt="Percentage, for example 5% or -3%" sqref="E25">
      <formula1>-0.5</formula1>
      <formula2>0.5</formula2>
    </dataValidation>
    <dataValidation type="decimal" allowBlank="1" showInputMessage="1" showErrorMessage="1" promptTitle="Appraiser input" prompt="Percentage, for example 5% or -3%" sqref="E27">
      <formula1>-0.5</formula1>
      <formula2>0.5</formula2>
    </dataValidation>
    <dataValidation type="decimal" allowBlank="1" showInputMessage="1" showErrorMessage="1" promptTitle="Appraiser input" prompt="Percentage, for example 5% or -3%" sqref="E31">
      <formula1>-0.5</formula1>
      <formula2>0.5</formula2>
    </dataValidation>
    <dataValidation type="decimal" allowBlank="1" showInputMessage="1" showErrorMessage="1" sqref="E35:E41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allowBlank="1" showInputMessage="1" showErrorMessage="1" promptTitle="Appraiser input" prompt="Percentage, for example 5% or -3%" sqref="F23">
      <formula1>-0.5</formula1>
      <formula2>0.5</formula2>
    </dataValidation>
    <dataValidation type="decimal" allowBlank="1" showInputMessage="1" showErrorMessage="1" promptTitle="Appraiser input" prompt="Percentage, for example 5% or -3%" sqref="F25">
      <formula1>-0.5</formula1>
      <formula2>0.5</formula2>
    </dataValidation>
    <dataValidation type="decimal" allowBlank="1" showInputMessage="1" showErrorMessage="1" promptTitle="Appraiser input" prompt="Percentage, for example 5% or -3%" sqref="F27">
      <formula1>-0.5</formula1>
      <formula2>0.5</formula2>
    </dataValidation>
    <dataValidation type="decimal" allowBlank="1" showInputMessage="1" showErrorMessage="1" promptTitle="Appraiser input" prompt="Percentage, for example 5% or -3%" sqref="F31">
      <formula1>-0.5</formula1>
      <formula2>0.5</formula2>
    </dataValidation>
    <dataValidation type="decimal" allowBlank="1" showInputMessage="1" showErrorMessage="1" sqref="F35:F41">
      <formula1>-0.5</formula1>
      <formula2>0.5</formula2>
    </dataValidation>
    <dataValidation type="date" operator="greaterThanOrEqual" allowBlank="1" showInputMessage="1" showErrorMessage="1" sqref="F8">
      <formula1>36526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43560</v>
      </c>
    </row>
    <row r="3" spans="1:2">
      <c r="A3" t="s">
        <v>47</v>
      </c>
      <c r="B3">
        <v>-3</v>
      </c>
    </row>
    <row r="4" spans="1:2">
      <c r="A4" t="s">
        <v>48</v>
      </c>
      <c r="B4">
        <v>0.25</v>
      </c>
    </row>
    <row r="6" spans="1:2">
      <c r="A6" t="s">
        <v>49</v>
      </c>
      <c r="B6">
        <f>COUNTA('Sales Comparison'!D5:D17)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